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min\Downloads\"/>
    </mc:Choice>
  </mc:AlternateContent>
  <xr:revisionPtr revIDLastSave="0" documentId="13_ncr:1_{0D4CA790-4340-4E3A-B8BA-75B5363D6C41}" xr6:coauthVersionLast="47" xr6:coauthVersionMax="47" xr10:uidLastSave="{00000000-0000-0000-0000-000000000000}"/>
  <bookViews>
    <workbookView xWindow="-110" yWindow="-110" windowWidth="19420" windowHeight="10420" xr2:uid="{6AC6A574-F86A-42D5-9BCE-C6548FAB701A}"/>
  </bookViews>
  <sheets>
    <sheet name="Optimizations" sheetId="1" r:id="rId1"/>
    <sheet name="Tags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 a="1"/>
  <c r="I3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<sst xmlns="http://schemas.openxmlformats.org/spreadsheetml/2006/main" count="27" uniqueCount="26">
  <si>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ID</t>
  </si>
  <si>
    <t>Production Date</t>
  </si>
  <si>
    <t>Title</t>
  </si>
  <si>
    <t>Description</t>
  </si>
  <si>
    <t>Tags</t>
  </si>
  <si>
    <t>Monthly Cost Before</t>
  </si>
  <si>
    <t>Monthly Cost After</t>
  </si>
  <si>
    <t>Notes</t>
  </si>
  <si>
    <t>Tag Check</t>
  </si>
  <si>
    <t>Tag</t>
  </si>
  <si>
    <t>#blob</t>
  </si>
  <si>
    <t>#infra</t>
  </si>
  <si>
    <t>#redis</t>
  </si>
  <si>
    <t>#algo</t>
  </si>
  <si>
    <t>SPAIS code optimization</t>
  </si>
  <si>
    <t>#tracker</t>
  </si>
  <si>
    <t>YOLO tracker optimization</t>
  </si>
  <si>
    <t>Azure Redis deactivation</t>
  </si>
  <si>
    <t>Turn off unused Redis instance</t>
  </si>
  <si>
    <t>obvious</t>
  </si>
  <si>
    <t>#redis #infra</t>
  </si>
  <si>
    <t>Not deplyed</t>
  </si>
  <si>
    <t>#algo #tracker</t>
  </si>
  <si>
    <t>KLT tracker</t>
  </si>
  <si>
    <t>Integratin KLT algo to choose and track not a person, but points on him. That will allow not to tun YOLO on each frame ang can sufficiently reduce hardware demands</t>
  </si>
  <si>
    <t>Exact Cost has not been calculated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</si>
</sst>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7"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AAB0FE-A6ED-4D2E-A183-EC2945D32E39}" name="tblOptimizations" displayName="tblOptimizations" ref="A1:I3" totalsRowShown="0">
  <autoFilter ref="A1:I3" xr:uid="{BDAAB0FE-A6ED-4D2E-A183-EC2945D32E39}"/>
  <tableColumns count="9">
    <tableColumn id="1" xr3:uid="{346A796E-D51F-400F-B1D3-14B68B23E82F}" name="ID" dataDxfId="10"/>
    <tableColumn id="2" xr3:uid="{1D7888FE-B805-44D6-9D6B-F1419D6F76B0}" name="Production Date" dataDxfId="9"/>
    <tableColumn id="3" xr3:uid="{24D3D007-B5FF-4792-A3E9-C886584DFA56}" name="Title" dataDxfId="8"/>
    <tableColumn id="4" xr3:uid="{BE078A0D-DE81-4E9C-8087-26A74F6B6F1C}" name="Description" dataDxfId="2"/>
    <tableColumn id="5" xr3:uid="{DA99DC07-4BC8-4F54-BF84-2FCA684B822E}" name="Tags" dataDxfId="0"/>
    <tableColumn id="6" xr3:uid="{3DFB7DB7-DFB7-4405-86CF-A5D151F834C8}" name="Monthly Cost Before" dataDxfId="1"/>
    <tableColumn id="7" xr3:uid="{8C61423E-E0B7-4488-9730-E268FA9E7289}" name="Monthly Cost After" dataDxfId="5"/>
    <tableColumn id="8" xr3:uid="{AA129D0A-0B36-483F-8A2B-C3F17B70D1CB}" name="Notes" dataDxfId="3"/>
    <tableColumn id="9" xr3:uid="{E442BFD5-C6C6-414C-A868-6D526C0CB625}" name="Tag Check" dataDxfId="4">
      <calculatedColumnFormula array="1">IF(TRIM(E2)="","",_xlfn.LET(_xlpm.tags,_xlfn.TEXTSPLIT(TRIM(E2)," "),_xlpm.bad,_xlfn._xlws.FILTER(_xlpm.tags,ISNA(MATCH(_xlpm.tags,tblTags[Tag],0)),""),IF(_xlfn.TEXTJOIN(", ",TRUE,_xlpm.bad)="","OK","Unknown: "&amp;_xlfn.TEXTJOIN(", ",TRUE,_xlpm.bad))))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4DE3C-77C1-44AC-8302-2EEA108AF60F}" name="tblTags" displayName="tblTags" ref="A1:B6" totalsRowShown="0">
  <autoFilter ref="A1:B6" xr:uid="{7104DE3C-77C1-44AC-8302-2EEA108AF60F}"/>
  <tableColumns count="2">
    <tableColumn id="1" xr3:uid="{62EB60FE-9D2B-4EA2-BF8D-96A826195622}" name="Tag"/>
    <tableColumn id="2" xr3:uid="{8B58609E-1C7C-4865-BA1B-40039445BBB3}" name="Descrip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1741-8C99-4CA4-A429-CC8AC204B675}">
  <dimension ref="A1:I3"/>
  <sheetViews>
    <sheetView tabSelected="1" workbookViewId="0">
      <selection activeCell="D9" sqref="D9"/>
    </sheetView>
  </sheetViews>
  <sheetFormatPr defaultRowHeight="14.5" x14ac:dyDescent="0.35"/>
  <cols>
    <col min="1" max="1" width="5.08984375" customWidth="1"/>
    <col min="2" max="2" width="16.26953125" customWidth="1"/>
    <col min="3" max="3" width="21.08984375" customWidth="1"/>
    <col min="4" max="4" width="17.81640625" customWidth="1"/>
    <col min="6" max="6" width="19.453125" customWidth="1"/>
    <col min="7" max="7" width="18.08984375" customWidth="1"/>
    <col min="8" max="8" width="18.90625" customWidth="1"/>
    <col min="9" max="9" width="11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9" x14ac:dyDescent="0.35">
      <c r="A2" s="2">
        <v>1</v>
      </c>
      <c r="B2" s="3">
        <v>46171</v>
      </c>
      <c r="C2" s="2" t="s">
        <v>17</v>
      </c>
      <c r="D2" s="1" t="s">
        <v>18</v>
      </c>
      <c r="E2" s="5" t="s">
        <v>20</v>
      </c>
      <c r="F2" s="2">
        <v>40</v>
      </c>
      <c r="G2" s="2">
        <v>0</v>
      </c>
      <c r="H2" s="5" t="s">
        <v>19</v>
      </c>
      <c r="I2" s="2" t="str" cm="1">
        <f t="array" ref="I2">IF(TRIM(E2)="","",_xlfn.LET(_xlpm.tags,_xlfn.TEXTSPLIT(TRIM(E2)," "),_xlpm.bad,_xlfn._xlws.FILTER(_xlpm.tags,ISNA(MATCH(_xlpm.tags,tblTags[Tag],0)),""),IF(_xlfn.TEXTJOIN(", ",TRUE,_xlpm.bad)="","OK","Unknown: "&amp;_xlfn.TEXTJOIN(", ",TRUE,_xlpm.bad))))</f>
        <v>OK</v>
      </c>
    </row>
    <row r="3" spans="1:9" ht="130.5" x14ac:dyDescent="0.35">
      <c r="A3" s="2">
        <v>2</v>
      </c>
      <c r="B3" s="2" t="s">
        <v>21</v>
      </c>
      <c r="C3" s="2" t="s">
        <v>23</v>
      </c>
      <c r="D3" s="1" t="s">
        <v>24</v>
      </c>
      <c r="E3" s="5" t="s">
        <v>22</v>
      </c>
      <c r="F3" s="2"/>
      <c r="G3" s="2"/>
      <c r="H3" s="5" t="s">
        <v>25</v>
      </c>
      <c r="I3" s="4" t="str" cm="1">
        <f t="array" ref="I3">IF(TRIM(E3)="","",_xlfn.LET(_xlpm.tags,_xlfn.TEXTSPLIT(TRIM(E3)," "),_xlpm.bad,_xlfn._xlws.FILTER(_xlpm.tags,ISNA(MATCH(_xlpm.tags,tblTags[Tag],0)),""),IF(_xlfn.TEXTJOIN(", ",TRUE,_xlpm.bad)="","OK","Unknown: "&amp;_xlfn.TEXTJOIN(", ",TRUE,_xlpm.bad))))</f>
        <v>OK</v>
      </c>
    </row>
  </sheetData>
  <conditionalFormatting sqref="E2:E3">
    <cfRule type="expression" dxfId="6" priority="1">
      <formula>AND($E2&lt;&gt;"",$I2&lt;&gt;"OK")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DCE2-635F-4ADA-9CE1-123E63493FD3}">
  <dimension ref="A1:B6"/>
  <sheetViews>
    <sheetView workbookViewId="0">
      <selection activeCell="G12" sqref="G12"/>
    </sheetView>
  </sheetViews>
  <sheetFormatPr defaultRowHeight="14.5" x14ac:dyDescent="0.35"/>
  <cols>
    <col min="2" max="2" width="24.6328125" customWidth="1"/>
    <col min="4" max="4" width="9" customWidth="1"/>
    <col min="6" max="6" width="10.7265625" customWidth="1"/>
    <col min="7" max="7" width="10.26953125" customWidth="1"/>
    <col min="8" max="8" width="10.90625" customWidth="1"/>
  </cols>
  <sheetData>
    <row r="1" spans="1:2" x14ac:dyDescent="0.35">
      <c r="A1" t="s">
        <v>9</v>
      </c>
      <c r="B1" t="s">
        <v>3</v>
      </c>
    </row>
    <row r="2" spans="1:2" x14ac:dyDescent="0.35">
      <c r="A2" t="s">
        <v>10</v>
      </c>
    </row>
    <row r="3" spans="1:2" x14ac:dyDescent="0.35">
      <c r="A3" t="s">
        <v>11</v>
      </c>
    </row>
    <row r="4" spans="1:2" x14ac:dyDescent="0.35">
      <c r="A4" t="s">
        <v>12</v>
      </c>
    </row>
    <row r="5" spans="1:2" x14ac:dyDescent="0.35">
      <c r="A5" t="s">
        <v>13</v>
      </c>
      <c r="B5" t="s">
        <v>14</v>
      </c>
    </row>
    <row r="6" spans="1:2" x14ac:dyDescent="0.35">
      <c r="A6" t="s">
        <v>15</v>
      </c>
      <c r="B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Optimizations</vt:lpstr>
      <vt:lpstr>TagsDictionary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Kravchuk</dc:creator>
  <cp:lastModifiedBy>Alexander Kravchuk</cp:lastModifiedBy>
  <dcterms:created xsi:type="dcterms:W3CDTF">2026-05-29T05:34:01Z</dcterms:created>
  <dcterms:modified xsi:type="dcterms:W3CDTF">2026-05-29T06:08:55Z</dcterms:modified>
</cp:coreProperties>
</file>